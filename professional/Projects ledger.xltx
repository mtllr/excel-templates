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/>
  <workbookPr/>
  <mc:AlternateContent xmlns:mc="http://schemas.openxmlformats.org/markup-compatibility/2006">
    <mc:Choice Requires="x15">
      <x15ac:absPath xmlns:x15ac="http://schemas.microsoft.com/office/spreadsheetml/2010/11/ac" url="/Users/martinteller/git/excel-templates/professional/"/>
    </mc:Choice>
  </mc:AlternateContent>
  <bookViews>
    <workbookView xWindow="0" yWindow="480" windowWidth="25600" windowHeight="15540" tabRatio="500"/>
  </bookViews>
  <sheets>
    <sheet name="Explanation" sheetId="1" r:id="rId1"/>
    <sheet name="Projects" sheetId="5" r:id="rId2"/>
    <sheet name="Tests" sheetId="2" r:id="rId3"/>
    <sheet name="Events" sheetId="3" r:id="rId4"/>
    <sheet name="Globals" sheetId="4" r:id="rId5"/>
  </sheets>
  <definedNames>
    <definedName name="day">Globals!$A$2</definedName>
    <definedName name="month">Globals!$A$4</definedName>
    <definedName name="Saturday">Globals!$D$2</definedName>
    <definedName name="ScaleValidation">Globals!$B$2:$B$5</definedName>
    <definedName name="Sunday">Globals!$D$3</definedName>
    <definedName name="week">Globals!$A$3</definedName>
    <definedName name="year">Globals!$A$5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2" l="1"/>
  <c r="L2" i="2" a="1"/>
  <c r="L2" i="2"/>
  <c r="J2" i="2" a="1"/>
  <c r="J2" i="2"/>
  <c r="E3" i="2"/>
  <c r="L3" i="2" a="1"/>
  <c r="L3" i="2"/>
  <c r="J3" i="2" a="1"/>
  <c r="J3" i="2"/>
  <c r="E4" i="2"/>
  <c r="L4" i="2" a="1"/>
  <c r="L4" i="2"/>
  <c r="J4" i="2" a="1"/>
  <c r="J4" i="2"/>
  <c r="E5" i="2"/>
  <c r="L5" i="2" a="1"/>
  <c r="L5" i="2"/>
  <c r="F5" i="2"/>
  <c r="J5" i="2" a="1"/>
  <c r="J5" i="2"/>
  <c r="E6" i="2"/>
  <c r="L6" i="2" a="1"/>
  <c r="L6" i="2"/>
  <c r="F6" i="2"/>
  <c r="J6" i="2" a="1"/>
  <c r="J6" i="2"/>
  <c r="E7" i="2"/>
  <c r="L7" i="2" a="1"/>
  <c r="L7" i="2"/>
  <c r="F7" i="2"/>
  <c r="J7" i="2" a="1"/>
  <c r="J7" i="2"/>
  <c r="E8" i="2"/>
  <c r="L8" i="2" a="1"/>
  <c r="L8" i="2"/>
  <c r="F8" i="2"/>
  <c r="J8" i="2" a="1"/>
  <c r="J8" i="2"/>
  <c r="E9" i="2"/>
  <c r="L9" i="2" a="1"/>
  <c r="L9" i="2"/>
  <c r="F9" i="2"/>
  <c r="J9" i="2" a="1"/>
  <c r="J9" i="2"/>
  <c r="E10" i="2"/>
  <c r="L10" i="2" a="1"/>
  <c r="L10" i="2"/>
  <c r="F10" i="2"/>
  <c r="J10" i="2" a="1"/>
  <c r="J10" i="2"/>
  <c r="E11" i="2"/>
  <c r="L11" i="2" a="1"/>
  <c r="L11" i="2"/>
  <c r="F11" i="2"/>
  <c r="J11" i="2" a="1"/>
  <c r="J11" i="2"/>
  <c r="E2" i="5"/>
  <c r="L2" i="5" a="1"/>
  <c r="L2" i="5"/>
  <c r="F2" i="5"/>
  <c r="J2" i="5" a="1"/>
  <c r="J2" i="5"/>
  <c r="B11" i="3"/>
  <c r="B10" i="3"/>
  <c r="K2" i="5" a="1"/>
  <c r="K2" i="5"/>
  <c r="N2" i="5"/>
  <c r="I2" i="5" a="1"/>
  <c r="I2" i="5"/>
  <c r="M2" i="5"/>
  <c r="K2" i="2" a="1"/>
  <c r="K2" i="2"/>
  <c r="K3" i="2" a="1"/>
  <c r="K3" i="2"/>
  <c r="K4" i="2" a="1"/>
  <c r="K4" i="2"/>
  <c r="K5" i="2" a="1"/>
  <c r="K5" i="2"/>
  <c r="K6" i="2" a="1"/>
  <c r="K6" i="2"/>
  <c r="K7" i="2" a="1"/>
  <c r="K7" i="2"/>
  <c r="K8" i="2" a="1"/>
  <c r="K8" i="2"/>
  <c r="K9" i="2" a="1"/>
  <c r="K9" i="2"/>
  <c r="K10" i="2" a="1"/>
  <c r="K10" i="2"/>
  <c r="K11" i="2" a="1"/>
  <c r="K11" i="2"/>
  <c r="B9" i="3"/>
  <c r="F2" i="2"/>
  <c r="F3" i="2"/>
  <c r="F4" i="2"/>
  <c r="I2" i="2" a="1"/>
  <c r="I2" i="2"/>
  <c r="I3" i="2" a="1"/>
  <c r="I3" i="2"/>
  <c r="I4" i="2" a="1"/>
  <c r="I4" i="2"/>
  <c r="I5" i="2" a="1"/>
  <c r="I5" i="2"/>
  <c r="I6" i="2" a="1"/>
  <c r="I6" i="2"/>
  <c r="I7" i="2" a="1"/>
  <c r="I7" i="2"/>
  <c r="I8" i="2" a="1"/>
  <c r="I8" i="2"/>
  <c r="I9" i="2" a="1"/>
  <c r="I9" i="2"/>
  <c r="I10" i="2" a="1"/>
  <c r="I10" i="2"/>
  <c r="I11" i="2" a="1"/>
  <c r="I11" i="2"/>
  <c r="M11" i="2"/>
  <c r="N11" i="2"/>
  <c r="M10" i="2"/>
  <c r="N10" i="2"/>
  <c r="M9" i="2"/>
  <c r="N9" i="2"/>
  <c r="M8" i="2"/>
  <c r="N8" i="2"/>
  <c r="M7" i="2"/>
  <c r="N7" i="2"/>
  <c r="M6" i="2"/>
  <c r="N6" i="2"/>
  <c r="M5" i="2"/>
  <c r="N5" i="2"/>
  <c r="M4" i="2"/>
  <c r="N4" i="2"/>
  <c r="M3" i="2"/>
  <c r="N3" i="2"/>
  <c r="N2" i="2"/>
  <c r="M2" i="2"/>
</calcChain>
</file>

<file path=xl/sharedStrings.xml><?xml version="1.0" encoding="utf-8"?>
<sst xmlns="http://schemas.openxmlformats.org/spreadsheetml/2006/main" count="138" uniqueCount="95">
  <si>
    <t>Project Overview Monitoring Sheet</t>
  </si>
  <si>
    <t>Id</t>
  </si>
  <si>
    <t>Name</t>
  </si>
  <si>
    <t>Goal</t>
  </si>
  <si>
    <t>Stakeholders</t>
  </si>
  <si>
    <t>Start</t>
  </si>
  <si>
    <t>Stop</t>
  </si>
  <si>
    <t>Advancement</t>
  </si>
  <si>
    <t>Comment</t>
  </si>
  <si>
    <t>Reviewed</t>
  </si>
  <si>
    <t>Project id</t>
  </si>
  <si>
    <t>Event</t>
  </si>
  <si>
    <t>Value</t>
  </si>
  <si>
    <t>Time scales</t>
  </si>
  <si>
    <t>day</t>
  </si>
  <si>
    <t>week</t>
  </si>
  <si>
    <t>month</t>
  </si>
  <si>
    <t>year</t>
  </si>
  <si>
    <t>Status</t>
  </si>
  <si>
    <t>On time</t>
  </si>
  <si>
    <t>Completed tasks give rise to and "Advancement" event with a value equal to the percentage of advancement done</t>
  </si>
  <si>
    <t>If the total advancement calculated in the Projects sheed:</t>
  </si>
  <si>
    <t>- is bigger than the burn rate then the light is green</t>
  </si>
  <si>
    <t>- is equal to the burn rate then the light is orange</t>
  </si>
  <si>
    <t>- is smaller than the burn rate then the light is red</t>
  </si>
  <si>
    <t>How to use</t>
  </si>
  <si>
    <t>A project review gives rise to a "Review" event (no value required)</t>
  </si>
  <si>
    <t>If the day of the last review is:</t>
  </si>
  <si>
    <t>Reviewed within the review cycle</t>
  </si>
  <si>
    <t>For each new project, the user CAN fill the: Name, Stakeholders, Comment</t>
  </si>
  <si>
    <t>For each new project, the user MUST fill the: Id, Start, Stop, Review count and Review scale</t>
  </si>
  <si>
    <t>Review every</t>
  </si>
  <si>
    <t>Scale</t>
  </si>
  <si>
    <t>State</t>
  </si>
  <si>
    <t>- further than 2 working days away then the light is green</t>
  </si>
  <si>
    <t>- within 2 working days from today then the light is yellow</t>
  </si>
  <si>
    <t>- passed, then the light is red</t>
  </si>
  <si>
    <t>Review in</t>
  </si>
  <si>
    <t>Date</t>
  </si>
  <si>
    <t>Time</t>
  </si>
  <si>
    <t>Me, You, Him, Her...</t>
  </si>
  <si>
    <t>Test before project</t>
  </si>
  <si>
    <t>Test project cancelled</t>
  </si>
  <si>
    <t>Test project done</t>
  </si>
  <si>
    <t>Test project open</t>
  </si>
  <si>
    <t>on time</t>
  </si>
  <si>
    <t>early</t>
  </si>
  <si>
    <t>late</t>
  </si>
  <si>
    <t>review later</t>
  </si>
  <si>
    <t>review soon (2 days)</t>
  </si>
  <si>
    <t>review late</t>
  </si>
  <si>
    <t>Monitor project template states</t>
  </si>
  <si>
    <t>Weekend</t>
  </si>
  <si>
    <t>Saturday</t>
  </si>
  <si>
    <t>Labels</t>
  </si>
  <si>
    <t>Sunday</t>
  </si>
  <si>
    <t>Burn</t>
  </si>
  <si>
    <t>Cancelled</t>
  </si>
  <si>
    <t>Done</t>
  </si>
  <si>
    <t>conforms if: Advancement is Empty, Burn is Empty, Review in is Empty, State is Empty, Status is Empty, Review is Empty</t>
  </si>
  <si>
    <t>conforms if: All Empty except, State = Cancelled</t>
  </si>
  <si>
    <t>conforms if: All Empty except, Advancement = 100% and State = Done</t>
  </si>
  <si>
    <t>burn rate uses only workdays</t>
  </si>
  <si>
    <t>Opening the template for the first time:</t>
  </si>
  <si>
    <t>You CAN remove worksheets: Explanation, Tests</t>
  </si>
  <si>
    <t>You MUST remove testing entries in the Events sheet</t>
  </si>
  <si>
    <t>Simple (multi-)project review and monitoring template.</t>
  </si>
  <si>
    <r>
      <t xml:space="preserve">To be in the green, each project must be </t>
    </r>
    <r>
      <rPr>
        <b/>
        <sz val="12"/>
        <color theme="1"/>
        <rFont val="Calibri"/>
        <family val="2"/>
        <scheme val="minor"/>
      </rPr>
      <t>on time</t>
    </r>
    <r>
      <rPr>
        <sz val="12"/>
        <color theme="1"/>
        <rFont val="Calibri"/>
        <family val="2"/>
        <scheme val="minor"/>
      </rPr>
      <t xml:space="preserve"> and have been reviewed within the </t>
    </r>
    <r>
      <rPr>
        <b/>
        <sz val="12"/>
        <color theme="1"/>
        <rFont val="Calibri"/>
        <family val="2"/>
        <scheme val="minor"/>
      </rPr>
      <t>review cycle</t>
    </r>
  </si>
  <si>
    <t>Holidays</t>
  </si>
  <si>
    <t>You CAN add or delete entries in the Holidays table in the Globals worksheet</t>
  </si>
  <si>
    <t>You CAN adjust the weekend days on the Globals worksheet</t>
  </si>
  <si>
    <t>Conforms if: Advancement = 60%, Burn = 50%, Review in = any, State = Open, Status = green, Reviewed = any</t>
  </si>
  <si>
    <t>EventStates</t>
  </si>
  <si>
    <t>Review</t>
  </si>
  <si>
    <t>Other</t>
  </si>
  <si>
    <t>Conforms if: Advancement = 50%, Burn = 50%, Review in = any, State = Open, Status = yellow, Reviewed = any</t>
  </si>
  <si>
    <t>Conforms if: Advancement = 40%, Burn = 50%, Review in = any, State = Open, Status = red, Reviewed = any</t>
  </si>
  <si>
    <t>Conforms if: Burn = 40%, Review in = 5 (NETWORKDAYS maths makes it weird, verify burn by hand with calendar.)</t>
  </si>
  <si>
    <t>Conforms if: Review is green</t>
  </si>
  <si>
    <t>Conforms if: Review is yellow</t>
  </si>
  <si>
    <t>Conforms if: Review is red</t>
  </si>
  <si>
    <t>Example</t>
  </si>
  <si>
    <t>The tasks that will change the reporting are:</t>
  </si>
  <si>
    <t>The events that have no effect are: OTHER</t>
  </si>
  <si>
    <t>ADVANCEMENT: When the percentage complete tasks changes, the user records how many percent they have completed in the Events[Value] column. The date SHOULD be consigned in the Event[Date} column.</t>
  </si>
  <si>
    <t>REVIEW: When the user has reviewed his project, then he adds an event with event type "Review". The date MUST be consigned in the Event[Date] column.</t>
  </si>
  <si>
    <t>Commenting</t>
  </si>
  <si>
    <t>Commenting has absolutely no effect but is a powerful feature for the user to understand the context of each event and put some quick notes relative to a specific project in general.</t>
  </si>
  <si>
    <t>Abundant commenting is highly recommended.</t>
  </si>
  <si>
    <t>The time basis used for project monitoring is workdays: all time related features are calculated using the net number of workdays between two dates.</t>
  </si>
  <si>
    <t>Each time a user records task advancement or a project review then he consigns them in the events table</t>
  </si>
  <si>
    <t>Id is a unique identification number for the project</t>
  </si>
  <si>
    <t>Start/Stop is the starting/ending date of the project</t>
  </si>
  <si>
    <t>Review count is an integer number</t>
  </si>
  <si>
    <t>Review scale is any choice of day, week, month, year such that if a review must be done every 2 months then the user chooses Review count = 2 and Review scale =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</si>
</sst>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;[Red]\-0\ 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9" fontId="0" fillId="0" borderId="0" xfId="0" applyNumberFormat="1"/>
    <xf numFmtId="0" fontId="0" fillId="0" borderId="0" xfId="0" quotePrefix="1"/>
    <xf numFmtId="0" fontId="4" fillId="0" borderId="0" xfId="0" applyFont="1"/>
    <xf numFmtId="9" fontId="0" fillId="0" borderId="0" xfId="0" applyNumberFormat="1" applyAlignment="1">
      <alignment horizontal="center"/>
    </xf>
    <xf numFmtId="9" fontId="0" fillId="0" borderId="0" xfId="0" quotePrefix="1" applyNumberFormat="1"/>
    <xf numFmtId="164" fontId="0" fillId="0" borderId="0" xfId="0" applyNumberFormat="1"/>
    <xf numFmtId="0" fontId="0" fillId="0" borderId="0" xfId="0" applyAlignment="1">
      <alignment horizontal="center"/>
    </xf>
    <xf numFmtId="9" fontId="0" fillId="0" borderId="0" xfId="1" applyFont="1"/>
    <xf numFmtId="9" fontId="0" fillId="0" borderId="0" xfId="1" applyNumberFormat="1" applyFont="1"/>
    <xf numFmtId="0" fontId="5" fillId="0" borderId="0" xfId="0" applyFont="1" applyFill="1" applyBorder="1"/>
    <xf numFmtId="9" fontId="5" fillId="0" borderId="0" xfId="1" applyNumberFormat="1" applyFont="1" applyFill="1" applyBorder="1"/>
    <xf numFmtId="9" fontId="5" fillId="0" borderId="0" xfId="1" applyFont="1" applyFill="1" applyBorder="1"/>
    <xf numFmtId="164" fontId="0" fillId="0" borderId="0" xfId="0" quotePrefix="1" applyNumberFormat="1"/>
    <xf numFmtId="0" fontId="0" fillId="0" borderId="0" xfId="0" applyBorder="1"/>
  </cellXfs>
  <cellStyles count="2">
    <cellStyle name="Normal" xfId="0" builtinId="0"/>
    <cellStyle name="Percent" xfId="1" builtinId="5"/>
  </cellStyles>
  <dxfs count="17">
    <dxf>
      <numFmt numFmtId="13" formatCode="0%"/>
    </dxf>
    <dxf>
      <alignment horizontal="center" vertical="bottom" textRotation="0" wrapText="0" indent="0" justifyLastLine="0" shrinkToFit="0"/>
    </dxf>
    <dxf>
      <numFmt numFmtId="13" formatCode="0%"/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0_ ;[Red]\-0\ 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  <alignment horizontal="left" vertical="bottom" textRotation="0" wrapText="0" indent="0" justifyLastLine="0" shrinkToFit="0" readingOrder="0"/>
    </dxf>
    <dxf>
      <numFmt numFmtId="164" formatCode="0_ ;[Red]\-0\ "/>
    </dxf>
    <dxf>
      <numFmt numFmtId="19" formatCode="dd/mm/yyyy"/>
    </dxf>
    <dxf>
      <alignment horizontal="center" vertical="bottom" textRotation="0" wrapText="0" indent="0" justifyLastLine="0" shrinkToFit="0"/>
    </dxf>
    <dxf>
      <numFmt numFmtId="13" formatCode="0%"/>
      <alignment horizontal="center" vertical="bottom" textRotation="0" wrapText="0" indent="0" justifyLastLine="0" shrinkToFit="0" readingOrder="0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  <alignment horizontal="left" vertical="bottom" textRotation="0" wrapText="0" indent="0" justifyLastLine="0" shrinkToFit="0" readingOrder="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5" name="Table16" displayName="Table16" ref="A1:O2" totalsRowShown="0">
  <autoFilter ref="A1:O2"/>
  <tableColumns count="15">
    <tableColumn id="1" name="Id"/>
    <tableColumn id="2" name="Name"/>
    <tableColumn id="3" name="Goal"/>
    <tableColumn id="4" name="Stakeholders"/>
    <tableColumn id="5" name="Start" dataDxfId="8">
      <calculatedColumnFormula>TODAY()</calculatedColumnFormula>
    </tableColumn>
    <tableColumn id="6" name="Stop" dataDxfId="7">
      <calculatedColumnFormula>TODAY()</calculatedColumnFormula>
    </tableColumn>
    <tableColumn id="7" name="Review every"/>
    <tableColumn id="8" name="Scale"/>
    <tableColumn id="9" name="Advancement" dataDxfId="6" dataCellStyle="Percent">
      <calculatedColumnFormula array="1">IF("Open"=Table16[[#This Row],[State]],_xlfn.IFNA(SUM(Events[Value]*(Table16[[#This Row],[Id]]=Events[Project id])*(I$1=Events[Event])),0%), IF("Done"=Table16[[#This Row],[State]], 100%, ""))</calculatedColumnFormula>
    </tableColumn>
    <tableColumn id="10" name="Burn" dataDxfId="5" dataCellStyle="Percent">
      <calculatedColumnFormula array="1">IF("Open"=Table16[[#This Row],[State]],IF(NETWORKDAYS(Table16[[#This Row],[Start]], TODAY())&gt;=0,MIN(100%,IFERROR(NETWORKDAYS(Table16[[#This Row],[Start]],TODAY(),Holidays[Holidays])/NETWORKDAYS(Table16[[#This Row],[Start]],Table16[[#This Row],[Stop]],Holidays[Holidays]),0%)), ""),"")</calculatedColumnFormula>
    </tableColumn>
    <tableColumn id="17" name="Review in" dataDxfId="4">
      <calculatedColumnFormula array="1">IF("Open"=Table16[[#This Row],[State]],IFERROR(NETWORKDAYS(TODAY(),INDEX(Events[Date], MATCH(1,(Table16[[#This Row],[Id]]=Events[Project id])*("Review"=Events[Event]),1))+Table16[[#This Row],[Review every]]*INDIRECT(Table16[[#This Row],[Scale]],TRUE)),NETWORKDAYS(TODAY(), Table16[[#This Row],[Start]])),"")</calculatedColumnFormula>
    </tableColumn>
    <tableColumn id="16" name="State" dataDxfId="3">
      <calculatedColumnFormula array="1">IF(TODAY()&lt;Table16[[#This Row],[Start]], "",IF(_xlfn.IFNA(INDEX(Events[Project id], MATCH(1, (Events[Project id]=$A2)*("Cancelled"=Events[Event]),0)),FALSE()),"Cancelled", _xlfn.IFNA(INDEX(Events[Event], MATCH(1, ($A2=Events[Project id])*("Done"=Events[Event]),0)),"Open")))</calculatedColumnFormula>
    </tableColumn>
    <tableColumn id="13" name="Status" dataDxfId="2">
      <calculatedColumnFormula>IFERROR(Table16[Advancement]-Table16[Burn],"")</calculatedColumnFormula>
    </tableColumn>
    <tableColumn id="11" name="Reviewed" dataDxfId="1">
      <calculatedColumnFormula>IFERROR(Table16[Review in], "")</calculatedColumnFormula>
    </tableColumn>
    <tableColumn id="12" name="Comme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O11" totalsRowShown="0">
  <autoFilter ref="A1:O11"/>
  <tableColumns count="15">
    <tableColumn id="1" name="Id"/>
    <tableColumn id="2" name="Name"/>
    <tableColumn id="3" name="Goal"/>
    <tableColumn id="4" name="Stakeholders"/>
    <tableColumn id="5" name="Start" dataDxfId="16">
      <calculatedColumnFormula>TODAY()+1</calculatedColumnFormula>
    </tableColumn>
    <tableColumn id="6" name="Stop" dataDxfId="15">
      <calculatedColumnFormula>TODAY()+2</calculatedColumnFormula>
    </tableColumn>
    <tableColumn id="7" name="Review every"/>
    <tableColumn id="8" name="Scale"/>
    <tableColumn id="9" name="Advancement" dataDxfId="14" dataCellStyle="Percent">
      <calculatedColumnFormula array="1">IF("Open"=Table1[[#This Row],[State]],_xlfn.IFNA(SUM(Events[Value]*(Table1[[#This Row],[Id]]=Events[Project id])*(I$1=Events[Event])),0%), IF("Done"=Table1[[#This Row],[State]], 100%, ""))</calculatedColumnFormula>
    </tableColumn>
    <tableColumn id="10" name="Burn" dataDxfId="0" dataCellStyle="Percent">
      <calculatedColumnFormula array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calculatedColumnFormula>
    </tableColumn>
    <tableColumn id="17" name="Review in" dataDxfId="9">
      <calculatedColumnFormula array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calculatedColumnFormula>
    </tableColumn>
    <tableColumn id="16" name="State" dataDxfId="13">
      <calculatedColumnFormula array="1">IF(TODAY()&lt;Table1[[#This Row],[Start]], "",IF(_xlfn.IFNA(INDEX(Events[Project id], MATCH(1, (Events[Project id]=$A2)*("Cancelled"=Events[Event]),0)),FALSE()),"Cancelled", _xlfn.IFNA(INDEX(Events[Event], MATCH(1, ($A2=Events[Project id])*("Done"=Events[Event]),0)),"Open")))</calculatedColumnFormula>
    </tableColumn>
    <tableColumn id="13" name="Status" dataDxfId="12">
      <calculatedColumnFormula>IFERROR(Table1[Advancement]-Table1[Burn],"")</calculatedColumnFormula>
    </tableColumn>
    <tableColumn id="11" name="Reviewed" dataDxfId="11">
      <calculatedColumnFormula>IFERROR(Table1[Review in], "")</calculatedColumnFormula>
    </tableColumn>
    <tableColumn id="12" name="Comme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Events" displayName="Events" ref="A1:F12" totalsRowShown="0">
  <autoFilter ref="A1:F12"/>
  <tableColumns count="6">
    <tableColumn id="1" name="Project id"/>
    <tableColumn id="5" name="Date" dataDxfId="10"/>
    <tableColumn id="6" name="Time"/>
    <tableColumn id="2" name="Event"/>
    <tableColumn id="3" name="Value"/>
    <tableColumn id="4" name="Com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Holidays" displayName="Holidays" ref="G1:H2" insertRow="1" totalsRowShown="0">
  <autoFilter ref="G1:H2"/>
  <tableColumns count="2">
    <tableColumn id="1" name="Holidays"/>
    <tableColumn id="2" name="Label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EventStates" displayName="EventStates" ref="J1:J4" totalsRowShown="0">
  <autoFilter ref="J1:J4"/>
  <tableColumns count="1">
    <tableColumn id="1" name="EventSta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Relationship Id="rId2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8"/>
  <sheetViews>
    <sheetView tabSelected="1" workbookViewId="0"/>
  </sheetViews>
  <sheetFormatPr baseColWidth="10" defaultRowHeight="16" x14ac:dyDescent="0.2"/>
  <sheetData>
    <row r="1" spans="1:1" ht="24" x14ac:dyDescent="0.3">
      <c r="A1" s="6" t="s">
        <v>0</v>
      </c>
    </row>
    <row r="3" spans="1:1" x14ac:dyDescent="0.2">
      <c r="A3" t="s">
        <v>66</v>
      </c>
    </row>
    <row r="4" spans="1:1" x14ac:dyDescent="0.2">
      <c r="A4" t="s">
        <v>67</v>
      </c>
    </row>
    <row r="5" spans="1:1" x14ac:dyDescent="0.2">
      <c r="A5" t="s">
        <v>89</v>
      </c>
    </row>
    <row r="7" spans="1:1" x14ac:dyDescent="0.2">
      <c r="A7" s="1" t="s">
        <v>19</v>
      </c>
    </row>
    <row r="8" spans="1:1" x14ac:dyDescent="0.2">
      <c r="A8" t="s">
        <v>20</v>
      </c>
    </row>
    <row r="9" spans="1:1" x14ac:dyDescent="0.2">
      <c r="A9" t="s">
        <v>21</v>
      </c>
    </row>
    <row r="10" spans="1:1" x14ac:dyDescent="0.2">
      <c r="A10" s="5" t="s">
        <v>22</v>
      </c>
    </row>
    <row r="11" spans="1:1" x14ac:dyDescent="0.2">
      <c r="A11" s="5" t="s">
        <v>23</v>
      </c>
    </row>
    <row r="12" spans="1:1" x14ac:dyDescent="0.2">
      <c r="A12" s="5" t="s">
        <v>24</v>
      </c>
    </row>
    <row r="14" spans="1:1" x14ac:dyDescent="0.2">
      <c r="A14" s="1" t="s">
        <v>28</v>
      </c>
    </row>
    <row r="15" spans="1:1" x14ac:dyDescent="0.2">
      <c r="A15" t="s">
        <v>26</v>
      </c>
    </row>
    <row r="16" spans="1:1" x14ac:dyDescent="0.2">
      <c r="A16" t="s">
        <v>27</v>
      </c>
    </row>
    <row r="17" spans="1:1" x14ac:dyDescent="0.2">
      <c r="A17" s="5" t="s">
        <v>34</v>
      </c>
    </row>
    <row r="18" spans="1:1" x14ac:dyDescent="0.2">
      <c r="A18" s="5" t="s">
        <v>35</v>
      </c>
    </row>
    <row r="19" spans="1:1" x14ac:dyDescent="0.2">
      <c r="A19" s="5" t="s">
        <v>36</v>
      </c>
    </row>
    <row r="21" spans="1:1" x14ac:dyDescent="0.2">
      <c r="A21" s="1" t="s">
        <v>63</v>
      </c>
    </row>
    <row r="22" spans="1:1" x14ac:dyDescent="0.2">
      <c r="A22" t="s">
        <v>65</v>
      </c>
    </row>
    <row r="23" spans="1:1" x14ac:dyDescent="0.2">
      <c r="A23" t="s">
        <v>64</v>
      </c>
    </row>
    <row r="24" spans="1:1" x14ac:dyDescent="0.2">
      <c r="A24" t="s">
        <v>70</v>
      </c>
    </row>
    <row r="25" spans="1:1" x14ac:dyDescent="0.2">
      <c r="A25" t="s">
        <v>69</v>
      </c>
    </row>
    <row r="27" spans="1:1" x14ac:dyDescent="0.2">
      <c r="A27" s="1" t="s">
        <v>25</v>
      </c>
    </row>
    <row r="28" spans="1:1" x14ac:dyDescent="0.2">
      <c r="A28" t="s">
        <v>30</v>
      </c>
    </row>
    <row r="29" spans="1:1" x14ac:dyDescent="0.2">
      <c r="A29" t="s">
        <v>29</v>
      </c>
    </row>
    <row r="31" spans="1:1" x14ac:dyDescent="0.2">
      <c r="A31" t="s">
        <v>91</v>
      </c>
    </row>
    <row r="32" spans="1:1" x14ac:dyDescent="0.2">
      <c r="A32" t="s">
        <v>92</v>
      </c>
    </row>
    <row r="33" spans="1:1" x14ac:dyDescent="0.2">
      <c r="A33" t="s">
        <v>93</v>
      </c>
    </row>
    <row r="34" spans="1:1" x14ac:dyDescent="0.2">
      <c r="A34" t="s">
        <v>94</v>
      </c>
    </row>
    <row r="36" spans="1:1" x14ac:dyDescent="0.2">
      <c r="A36" t="s">
        <v>90</v>
      </c>
    </row>
    <row r="38" spans="1:1" s="17" customFormat="1" x14ac:dyDescent="0.2">
      <c r="A38" s="17" t="s">
        <v>82</v>
      </c>
    </row>
    <row r="39" spans="1:1" x14ac:dyDescent="0.2">
      <c r="A39" t="s">
        <v>84</v>
      </c>
    </row>
    <row r="40" spans="1:1" x14ac:dyDescent="0.2">
      <c r="A40" t="s">
        <v>85</v>
      </c>
    </row>
    <row r="42" spans="1:1" x14ac:dyDescent="0.2">
      <c r="A42" t="s">
        <v>83</v>
      </c>
    </row>
    <row r="44" spans="1:1" x14ac:dyDescent="0.2">
      <c r="A44" s="1" t="s">
        <v>86</v>
      </c>
    </row>
    <row r="45" spans="1:1" x14ac:dyDescent="0.2">
      <c r="A45" t="s">
        <v>87</v>
      </c>
    </row>
    <row r="46" spans="1:1" x14ac:dyDescent="0.2">
      <c r="A46" t="s">
        <v>88</v>
      </c>
    </row>
    <row r="48" spans="1:1" x14ac:dyDescent="0.2">
      <c r="A48" s="1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A2" sqref="A2"/>
    </sheetView>
  </sheetViews>
  <sheetFormatPr baseColWidth="10" defaultRowHeight="16" x14ac:dyDescent="0.2"/>
  <cols>
    <col min="1" max="1" width="5.33203125" customWidth="1"/>
    <col min="2" max="4" width="32.5" customWidth="1"/>
    <col min="5" max="6" width="10.6640625" bestFit="1" customWidth="1"/>
    <col min="7" max="7" width="6.6640625" customWidth="1"/>
    <col min="8" max="8" width="7" customWidth="1"/>
    <col min="9" max="9" width="5.83203125" customWidth="1"/>
    <col min="10" max="10" width="7.1640625" customWidth="1"/>
    <col min="11" max="11" width="11.83203125" bestFit="1" customWidth="1"/>
    <col min="12" max="12" width="9" bestFit="1" customWidth="1"/>
    <col min="13" max="14" width="4.1640625" customWidth="1"/>
    <col min="15" max="15" width="31.1640625" customWidth="1"/>
  </cols>
  <sheetData>
    <row r="1" spans="1:15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31</v>
      </c>
      <c r="H1" t="s">
        <v>32</v>
      </c>
      <c r="I1" t="s">
        <v>7</v>
      </c>
      <c r="J1" t="s">
        <v>56</v>
      </c>
      <c r="K1" t="s">
        <v>37</v>
      </c>
      <c r="L1" t="s">
        <v>33</v>
      </c>
      <c r="M1" t="s">
        <v>18</v>
      </c>
      <c r="N1" t="s">
        <v>9</v>
      </c>
      <c r="O1" t="s">
        <v>8</v>
      </c>
    </row>
    <row r="2" spans="1:15" x14ac:dyDescent="0.2">
      <c r="A2">
        <v>1</v>
      </c>
      <c r="B2" t="s">
        <v>81</v>
      </c>
      <c r="E2" s="3">
        <f ca="1">TODAY()</f>
        <v>43681</v>
      </c>
      <c r="F2" s="2">
        <f ca="1">TODAY()</f>
        <v>43681</v>
      </c>
      <c r="I2" s="11">
        <f t="array" aca="1" ref="I2" ca="1">IF("Open"=Table16[[#This Row],[State]],_xlfn.IFNA(SUM(Events[Value]*(Table16[[#This Row],[Id]]=Events[Project id])*(I$1=Events[Event])),0%), IF("Done"=Table16[[#This Row],[State]], 100%, ""))</f>
        <v>0.05</v>
      </c>
      <c r="J2" s="11">
        <f t="array" aca="1" ref="J2" ca="1">IF("Open"=Table16[[#This Row],[State]],IF(NETWORKDAYS(Table16[[#This Row],[Start]], TODAY())&gt;=0,MIN(100%,IFERROR(NETWORKDAYS(Table16[[#This Row],[Start]],TODAY(),Holidays[Holidays])/NETWORKDAYS(Table16[[#This Row],[Start]],Table16[[#This Row],[Stop]],Holidays[Holidays]),0%)), ""),"")</f>
        <v>0</v>
      </c>
      <c r="K2" s="9">
        <f t="array" aca="1" ref="K2" ca="1">IF("Open"=Table16[[#This Row],[State]],IFERROR(NETWORKDAYS(TODAY(),INDEX(Events[Date], MATCH(1,(Table16[[#This Row],[Id]]=Events[Project id])*("Review"=Events[Event]),1))+Table16[[#This Row],[Review every]]*INDIRECT(Table16[[#This Row],[Scale]],TRUE)),NETWORKDAYS(TODAY(), Table16[[#This Row],[Start]])),"")</f>
        <v>0</v>
      </c>
      <c r="L2" s="8" t="str">
        <f t="array" aca="1" ref="L2" ca="1">IF(TODAY()&lt;Table16[[#This Row],[Start]], "",IF(_xlfn.IFNA(INDEX(Events[Project id], MATCH(1, (Events[Project id]=$A2)*("Cancelled"=Events[Event]),0)),FALSE()),"Cancelled", _xlfn.IFNA(INDEX(Events[Event], MATCH(1, ($A2=Events[Project id])*("Done"=Events[Event]),0)),"Open")))</f>
        <v>Open</v>
      </c>
      <c r="M2" s="7">
        <f ca="1">IFERROR(Table16[Advancement]-Table16[Burn],"")</f>
        <v>0.05</v>
      </c>
      <c r="N2" s="10">
        <f ca="1">IFERROR(Table16[Review in], "")</f>
        <v>0</v>
      </c>
    </row>
    <row r="4" spans="1:15" x14ac:dyDescent="0.2">
      <c r="I4" s="13"/>
      <c r="J4" s="15"/>
      <c r="K4" s="13"/>
      <c r="L4" s="13"/>
    </row>
    <row r="5" spans="1:15" x14ac:dyDescent="0.2">
      <c r="I5" s="14"/>
      <c r="J5" s="13"/>
      <c r="K5" s="13"/>
      <c r="L5" s="13"/>
    </row>
    <row r="6" spans="1:15" x14ac:dyDescent="0.2">
      <c r="I6" s="13"/>
      <c r="J6" s="13"/>
      <c r="K6" s="13"/>
      <c r="L6" s="13"/>
    </row>
    <row r="7" spans="1:15" x14ac:dyDescent="0.2">
      <c r="I7" s="13"/>
      <c r="J7" s="13"/>
      <c r="K7" s="13"/>
      <c r="L7" s="13"/>
    </row>
    <row r="8" spans="1:15" x14ac:dyDescent="0.2">
      <c r="I8" s="13"/>
      <c r="J8" s="13"/>
      <c r="K8" s="13"/>
      <c r="L8" s="13"/>
    </row>
    <row r="9" spans="1:15" x14ac:dyDescent="0.2">
      <c r="I9" s="13"/>
      <c r="J9" s="13"/>
      <c r="K9" s="13"/>
      <c r="L9" s="13"/>
    </row>
    <row r="10" spans="1:15" x14ac:dyDescent="0.2">
      <c r="I10" s="13"/>
      <c r="J10" s="13"/>
      <c r="K10" s="13"/>
      <c r="L10" s="13"/>
    </row>
    <row r="11" spans="1:15" x14ac:dyDescent="0.2">
      <c r="I11" s="13"/>
      <c r="J11" s="13"/>
      <c r="K11" s="13"/>
      <c r="L11" s="13"/>
    </row>
    <row r="12" spans="1:15" x14ac:dyDescent="0.2">
      <c r="I12" s="13"/>
      <c r="J12" s="13"/>
      <c r="K12" s="13"/>
      <c r="L12" s="13"/>
    </row>
    <row r="13" spans="1:15" x14ac:dyDescent="0.2">
      <c r="I13" s="13"/>
      <c r="J13" s="13"/>
      <c r="K13" s="13"/>
      <c r="L13" s="13"/>
    </row>
    <row r="14" spans="1:15" x14ac:dyDescent="0.2">
      <c r="I14" s="14"/>
      <c r="J14" s="13"/>
      <c r="K14" s="13"/>
      <c r="L14" s="13"/>
    </row>
    <row r="15" spans="1:15" x14ac:dyDescent="0.2">
      <c r="I15" s="13"/>
      <c r="J15" s="13"/>
      <c r="K15" s="13"/>
      <c r="L15" s="13"/>
    </row>
    <row r="16" spans="1:15" x14ac:dyDescent="0.2">
      <c r="I16" s="13"/>
      <c r="J16" s="13"/>
      <c r="K16" s="13"/>
      <c r="L16" s="13"/>
    </row>
  </sheetData>
  <conditionalFormatting sqref="M2">
    <cfRule type="iconSet" priority="3">
      <iconSet showValue="0">
        <cfvo type="percent" val="0"/>
        <cfvo type="num" val="0"/>
        <cfvo type="num" val="0" gte="0"/>
      </iconSet>
    </cfRule>
  </conditionalFormatting>
  <conditionalFormatting sqref="N2">
    <cfRule type="iconSet" priority="4">
      <iconSet showValue="0">
        <cfvo type="percent" val="0"/>
        <cfvo type="num" val="0"/>
        <cfvo type="num" val="2" gte="0"/>
      </iconSet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Globals!$B$2:$B$5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B1" workbookViewId="0">
      <selection activeCell="B2" sqref="B2"/>
    </sheetView>
  </sheetViews>
  <sheetFormatPr baseColWidth="10" defaultRowHeight="16" x14ac:dyDescent="0.2"/>
  <cols>
    <col min="1" max="1" width="5.33203125" customWidth="1"/>
    <col min="2" max="4" width="32.5" customWidth="1"/>
    <col min="5" max="6" width="10.6640625" bestFit="1" customWidth="1"/>
    <col min="7" max="7" width="6.6640625" customWidth="1"/>
    <col min="8" max="8" width="7" customWidth="1"/>
    <col min="9" max="9" width="5.83203125" customWidth="1"/>
    <col min="10" max="10" width="7.1640625" customWidth="1"/>
    <col min="11" max="11" width="11.83203125" bestFit="1" customWidth="1"/>
    <col min="12" max="12" width="9" bestFit="1" customWidth="1"/>
    <col min="13" max="14" width="4.1640625" customWidth="1"/>
    <col min="15" max="15" width="31.1640625" customWidth="1"/>
  </cols>
  <sheetData>
    <row r="1" spans="1:15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31</v>
      </c>
      <c r="H1" t="s">
        <v>32</v>
      </c>
      <c r="I1" t="s">
        <v>7</v>
      </c>
      <c r="J1" t="s">
        <v>56</v>
      </c>
      <c r="K1" t="s">
        <v>37</v>
      </c>
      <c r="L1" t="s">
        <v>33</v>
      </c>
      <c r="M1" t="s">
        <v>18</v>
      </c>
      <c r="N1" t="s">
        <v>9</v>
      </c>
      <c r="O1" t="s">
        <v>8</v>
      </c>
    </row>
    <row r="2" spans="1:15" x14ac:dyDescent="0.2">
      <c r="A2">
        <v>1</v>
      </c>
      <c r="B2" t="s">
        <v>41</v>
      </c>
      <c r="C2" t="s">
        <v>51</v>
      </c>
      <c r="D2" t="s">
        <v>40</v>
      </c>
      <c r="E2" s="3">
        <f t="shared" ref="E2" ca="1" si="0">TODAY()+1</f>
        <v>43682</v>
      </c>
      <c r="F2" s="2">
        <f t="shared" ref="F2" ca="1" si="1">TODAY()+2</f>
        <v>43683</v>
      </c>
      <c r="G2">
        <v>1</v>
      </c>
      <c r="H2" t="s">
        <v>14</v>
      </c>
      <c r="I2" s="11" t="str">
        <f t="array" aca="1" ref="I2" ca="1">IF("Open"=Table1[[#This Row],[State]],_xlfn.IFNA(SUM(Events[Value]*(Table1[[#This Row],[Id]]=Events[Project id])*(I$1=Events[Event])),0%), IF("Done"=Table1[[#This Row],[State]], 100%, ""))</f>
        <v/>
      </c>
      <c r="J2" s="11" t="str">
        <f t="array" aca="1" ref="J2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/>
      </c>
      <c r="K2" s="9" t="str">
        <f t="array" aca="1" ref="K2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/>
      </c>
      <c r="L2" s="8" t="str">
        <f t="array" aca="1" ref="L2" ca="1">IF(TODAY()&lt;Table1[[#This Row],[Start]], "",IF(_xlfn.IFNA(INDEX(Events[Project id], MATCH(1, (Events[Project id]=$A2)*("Cancelled"=Events[Event]),0)),FALSE()),"Cancelled", _xlfn.IFNA(INDEX(Events[Event], MATCH(1, ($A2=Events[Project id])*("Done"=Events[Event]),0)),"Open")))</f>
        <v/>
      </c>
      <c r="M2" s="7" t="str">
        <f ca="1">IFERROR(Table1[Advancement]-Table1[Burn],"")</f>
        <v/>
      </c>
      <c r="N2" s="10" t="str">
        <f ca="1">IFERROR(Table1[Review in], "")</f>
        <v/>
      </c>
      <c r="O2" t="s">
        <v>59</v>
      </c>
    </row>
    <row r="3" spans="1:15" x14ac:dyDescent="0.2">
      <c r="A3">
        <v>2</v>
      </c>
      <c r="B3" t="s">
        <v>42</v>
      </c>
      <c r="E3" s="3">
        <f ca="1">TODAY()-7</f>
        <v>43674</v>
      </c>
      <c r="F3" s="2">
        <f ca="1">TODAY()+7</f>
        <v>43688</v>
      </c>
      <c r="G3">
        <v>1</v>
      </c>
      <c r="H3" t="s">
        <v>14</v>
      </c>
      <c r="I3" s="11" t="str">
        <f t="array" aca="1" ref="I3" ca="1">IF("Open"=Table1[[#This Row],[State]],_xlfn.IFNA(SUM(Events[Value]*(Table1[[#This Row],[Id]]=Events[Project id])*(I$1=Events[Event])),0%), IF("Done"=Table1[[#This Row],[State]], 100%, ""))</f>
        <v/>
      </c>
      <c r="J3" s="11" t="str">
        <f t="array" aca="1" ref="J3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/>
      </c>
      <c r="K3" s="9" t="str">
        <f t="array" aca="1" ref="K3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/>
      </c>
      <c r="L3" s="4" t="str">
        <f t="array" aca="1" ref="L3" ca="1">IF(TODAY()&lt;Table1[[#This Row],[Start]], "",IF(_xlfn.IFNA(INDEX(Events[Project id], MATCH(1, (Events[Project id]=$A3)*("Cancelled"=Events[Event]),0)),FALSE()),"Cancelled", _xlfn.IFNA(INDEX(Events[Event], MATCH(1, ($A3=Events[Project id])*("Done"=Events[Event]),0)),"Open")))</f>
        <v>Cancelled</v>
      </c>
      <c r="M3" s="7" t="str">
        <f ca="1">IFERROR(Table1[Advancement]-Table1[Burn],"")</f>
        <v/>
      </c>
      <c r="N3" s="10" t="str">
        <f ca="1">IFERROR(Table1[Review in], "")</f>
        <v/>
      </c>
      <c r="O3" t="s">
        <v>60</v>
      </c>
    </row>
    <row r="4" spans="1:15" x14ac:dyDescent="0.2">
      <c r="A4">
        <v>3</v>
      </c>
      <c r="B4" t="s">
        <v>43</v>
      </c>
      <c r="E4" s="3">
        <f t="shared" ref="E4:E10" ca="1" si="2">TODAY()-7</f>
        <v>43674</v>
      </c>
      <c r="F4" s="2">
        <f t="shared" ref="F4:F10" ca="1" si="3">TODAY()+7</f>
        <v>43688</v>
      </c>
      <c r="G4">
        <v>1</v>
      </c>
      <c r="H4" t="s">
        <v>14</v>
      </c>
      <c r="I4" s="11">
        <f t="array" aca="1" ref="I4" ca="1">IF("Open"=Table1[[#This Row],[State]],_xlfn.IFNA(SUM(Events[Value]*(Table1[[#This Row],[Id]]=Events[Project id])*(I$1=Events[Event])),0%), IF("Done"=Table1[[#This Row],[State]], 100%, ""))</f>
        <v>1</v>
      </c>
      <c r="J4" s="11" t="str">
        <f t="array" aca="1" ref="J4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/>
      </c>
      <c r="K4" s="9" t="str">
        <f t="array" aca="1" ref="K4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/>
      </c>
      <c r="L4" s="4" t="str">
        <f t="array" aca="1" ref="L4" ca="1">IF(TODAY()&lt;Table1[[#This Row],[Start]], "",IF(_xlfn.IFNA(INDEX(Events[Project id], MATCH(1, (Events[Project id]=$A4)*("Cancelled"=Events[Event]),0)),FALSE()),"Cancelled", _xlfn.IFNA(INDEX(Events[Event], MATCH(1, ($A4=Events[Project id])*("Done"=Events[Event]),0)),"Open")))</f>
        <v>Done</v>
      </c>
      <c r="M4" s="7" t="str">
        <f ca="1">IFERROR(Table1[Advancement]-Table1[Burn],"")</f>
        <v/>
      </c>
      <c r="N4" s="10" t="str">
        <f ca="1">IFERROR(Table1[Review in], "")</f>
        <v/>
      </c>
      <c r="O4" t="s">
        <v>61</v>
      </c>
    </row>
    <row r="5" spans="1:15" x14ac:dyDescent="0.2">
      <c r="A5">
        <v>4</v>
      </c>
      <c r="B5" t="s">
        <v>44</v>
      </c>
      <c r="C5" t="s">
        <v>46</v>
      </c>
      <c r="E5" s="3">
        <f t="shared" ca="1" si="2"/>
        <v>43674</v>
      </c>
      <c r="F5" s="2">
        <f t="shared" ca="1" si="3"/>
        <v>43688</v>
      </c>
      <c r="G5">
        <v>1</v>
      </c>
      <c r="H5" t="s">
        <v>15</v>
      </c>
      <c r="I5" s="11">
        <f t="array" aca="1" ref="I5" ca="1">IF("Open"=Table1[[#This Row],[State]],_xlfn.IFNA(SUM(Events[Value]*(Table1[[#This Row],[Id]]=Events[Project id])*(I$1=Events[Event])),0%), IF("Done"=Table1[[#This Row],[State]], 100%, ""))</f>
        <v>0.6</v>
      </c>
      <c r="J5" s="11">
        <f t="array" aca="1" ref="J5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>0.5</v>
      </c>
      <c r="K5" s="16">
        <f t="array" aca="1" ref="K5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>5</v>
      </c>
      <c r="L5" s="4" t="str">
        <f t="array" aca="1" ref="L5" ca="1">IF(TODAY()&lt;Table1[[#This Row],[Start]], "",IF(_xlfn.IFNA(INDEX(Events[Project id], MATCH(1, (Events[Project id]=$A5)*("Cancelled"=Events[Event]),0)),FALSE()),"Cancelled", _xlfn.IFNA(INDEX(Events[Event], MATCH(1, ($A5=Events[Project id])*("Done"=Events[Event]),0)),"Open")))</f>
        <v>Open</v>
      </c>
      <c r="M5" s="7">
        <f ca="1">IFERROR(Table1[Advancement]-Table1[Burn],"")</f>
        <v>9.9999999999999978E-2</v>
      </c>
      <c r="N5" s="10">
        <f ca="1">IFERROR(Table1[Review in], "")</f>
        <v>5</v>
      </c>
      <c r="O5" t="s">
        <v>71</v>
      </c>
    </row>
    <row r="6" spans="1:15" x14ac:dyDescent="0.2">
      <c r="A6">
        <v>5</v>
      </c>
      <c r="B6" t="s">
        <v>44</v>
      </c>
      <c r="C6" t="s">
        <v>45</v>
      </c>
      <c r="E6" s="3">
        <f t="shared" ca="1" si="2"/>
        <v>43674</v>
      </c>
      <c r="F6" s="2">
        <f t="shared" ca="1" si="3"/>
        <v>43688</v>
      </c>
      <c r="I6" s="11">
        <f t="array" aca="1" ref="I6" ca="1">IF("Open"=Table1[[#This Row],[State]],_xlfn.IFNA(SUM(Events[Value]*(Table1[[#This Row],[Id]]=Events[Project id])*(I$1=Events[Event])),0%), IF("Done"=Table1[[#This Row],[State]], 100%, ""))</f>
        <v>0.5</v>
      </c>
      <c r="J6" s="11">
        <f t="array" aca="1" ref="J6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>0.5</v>
      </c>
      <c r="K6" s="9">
        <f t="array" aca="1" ref="K6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>-5</v>
      </c>
      <c r="L6" s="4" t="str">
        <f t="array" aca="1" ref="L6" ca="1">IF(TODAY()&lt;Table1[[#This Row],[Start]], "",IF(_xlfn.IFNA(INDEX(Events[Project id], MATCH(1, (Events[Project id]=$A6)*("Cancelled"=Events[Event]),0)),FALSE()),"Cancelled", _xlfn.IFNA(INDEX(Events[Event], MATCH(1, ($A6=Events[Project id])*("Done"=Events[Event]),0)),"Open")))</f>
        <v>Open</v>
      </c>
      <c r="M6" s="7">
        <f ca="1">IFERROR(Table1[Advancement]-Table1[Burn],"")</f>
        <v>0</v>
      </c>
      <c r="N6" s="10">
        <f ca="1">IFERROR(Table1[Review in], "")</f>
        <v>-5</v>
      </c>
      <c r="O6" t="s">
        <v>75</v>
      </c>
    </row>
    <row r="7" spans="1:15" x14ac:dyDescent="0.2">
      <c r="A7">
        <v>6</v>
      </c>
      <c r="B7" t="s">
        <v>44</v>
      </c>
      <c r="C7" t="s">
        <v>47</v>
      </c>
      <c r="E7" s="3">
        <f t="shared" ca="1" si="2"/>
        <v>43674</v>
      </c>
      <c r="F7" s="2">
        <f t="shared" ca="1" si="3"/>
        <v>43688</v>
      </c>
      <c r="I7" s="11">
        <f t="array" aca="1" ref="I7" ca="1">IF("Open"=Table1[[#This Row],[State]],_xlfn.IFNA(SUM(Events[Value]*(Table1[[#This Row],[Id]]=Events[Project id])*(I$1=Events[Event])),0%), IF("Done"=Table1[[#This Row],[State]], 100%, ""))</f>
        <v>0.4</v>
      </c>
      <c r="J7" s="11">
        <f t="array" aca="1" ref="J7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>0.5</v>
      </c>
      <c r="K7" s="9">
        <f t="array" aca="1" ref="K7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>-5</v>
      </c>
      <c r="L7" s="4" t="str">
        <f t="array" aca="1" ref="L7" ca="1">IF(TODAY()&lt;Table1[[#This Row],[Start]], "",IF(_xlfn.IFNA(INDEX(Events[Project id], MATCH(1, (Events[Project id]=$A7)*("Cancelled"=Events[Event]),0)),FALSE()),"Cancelled", _xlfn.IFNA(INDEX(Events[Event], MATCH(1, ($A7=Events[Project id])*("Done"=Events[Event]),0)),"Open")))</f>
        <v>Open</v>
      </c>
      <c r="M7" s="7">
        <f ca="1">IFERROR(Table1[Advancement]-Table1[Burn],"")</f>
        <v>-9.9999999999999978E-2</v>
      </c>
      <c r="N7" s="10">
        <f ca="1">IFERROR(Table1[Review in], "")</f>
        <v>-5</v>
      </c>
      <c r="O7" t="s">
        <v>76</v>
      </c>
    </row>
    <row r="8" spans="1:15" x14ac:dyDescent="0.2">
      <c r="A8">
        <v>7</v>
      </c>
      <c r="B8" t="s">
        <v>44</v>
      </c>
      <c r="C8" t="s">
        <v>48</v>
      </c>
      <c r="E8" s="3">
        <f t="shared" ca="1" si="2"/>
        <v>43674</v>
      </c>
      <c r="F8" s="2">
        <f t="shared" ca="1" si="3"/>
        <v>43688</v>
      </c>
      <c r="G8">
        <v>1</v>
      </c>
      <c r="H8" t="s">
        <v>15</v>
      </c>
      <c r="I8" s="11">
        <f t="array" aca="1" ref="I8" ca="1">IF("Open"=Table1[[#This Row],[State]],_xlfn.IFNA(SUM(Events[Value]*(Table1[[#This Row],[Id]]=Events[Project id])*(I$1=Events[Event])),0%), IF("Done"=Table1[[#This Row],[State]], 100%, ""))</f>
        <v>0</v>
      </c>
      <c r="J8" s="11">
        <f t="array" aca="1" ref="J8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>0.5</v>
      </c>
      <c r="K8" s="9">
        <f t="array" aca="1" ref="K8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>5</v>
      </c>
      <c r="L8" s="4" t="str">
        <f t="array" aca="1" ref="L8" ca="1">IF(TODAY()&lt;Table1[[#This Row],[Start]], "",IF(_xlfn.IFNA(INDEX(Events[Project id], MATCH(1, (Events[Project id]=$A8)*("Cancelled"=Events[Event]),0)),FALSE()),"Cancelled", _xlfn.IFNA(INDEX(Events[Event], MATCH(1, ($A8=Events[Project id])*("Done"=Events[Event]),0)),"Open")))</f>
        <v>Open</v>
      </c>
      <c r="M8" s="7">
        <f ca="1">IFERROR(Table1[Advancement]-Table1[Burn],"")</f>
        <v>-0.5</v>
      </c>
      <c r="N8" s="10">
        <f ca="1">IFERROR(Table1[Review in], "")</f>
        <v>5</v>
      </c>
      <c r="O8" t="s">
        <v>78</v>
      </c>
    </row>
    <row r="9" spans="1:15" x14ac:dyDescent="0.2">
      <c r="A9">
        <v>8</v>
      </c>
      <c r="B9" t="s">
        <v>44</v>
      </c>
      <c r="C9" t="s">
        <v>49</v>
      </c>
      <c r="E9" s="3">
        <f t="shared" ca="1" si="2"/>
        <v>43674</v>
      </c>
      <c r="F9" s="2">
        <f t="shared" ca="1" si="3"/>
        <v>43688</v>
      </c>
      <c r="G9">
        <v>1</v>
      </c>
      <c r="H9" t="s">
        <v>15</v>
      </c>
      <c r="I9" s="11">
        <f t="array" aca="1" ref="I9" ca="1">IF("Open"=Table1[[#This Row],[State]],_xlfn.IFNA(SUM(Events[Value]*(Table1[[#This Row],[Id]]=Events[Project id])*(I$1=Events[Event])),0%), IF("Done"=Table1[[#This Row],[State]], 100%, ""))</f>
        <v>0</v>
      </c>
      <c r="J9" s="11">
        <f t="array" aca="1" ref="J9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>0.5</v>
      </c>
      <c r="K9" s="9">
        <f t="array" aca="1" ref="K9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>2</v>
      </c>
      <c r="L9" s="4" t="str">
        <f t="array" aca="1" ref="L9" ca="1">IF(TODAY()&lt;Table1[[#This Row],[Start]], "",IF(_xlfn.IFNA(INDEX(Events[Project id], MATCH(1, (Events[Project id]=$A9)*("Cancelled"=Events[Event]),0)),FALSE()),"Cancelled", _xlfn.IFNA(INDEX(Events[Event], MATCH(1, ($A9=Events[Project id])*("Done"=Events[Event]),0)),"Open")))</f>
        <v>Open</v>
      </c>
      <c r="M9" s="7">
        <f ca="1">IFERROR(Table1[Advancement]-Table1[Burn],"")</f>
        <v>-0.5</v>
      </c>
      <c r="N9" s="10">
        <f ca="1">IFERROR(Table1[Review in], "")</f>
        <v>2</v>
      </c>
      <c r="O9" t="s">
        <v>79</v>
      </c>
    </row>
    <row r="10" spans="1:15" x14ac:dyDescent="0.2">
      <c r="A10">
        <v>9</v>
      </c>
      <c r="B10" t="s">
        <v>44</v>
      </c>
      <c r="C10" t="s">
        <v>50</v>
      </c>
      <c r="E10" s="3">
        <f t="shared" ca="1" si="2"/>
        <v>43674</v>
      </c>
      <c r="F10" s="2">
        <f t="shared" ca="1" si="3"/>
        <v>43688</v>
      </c>
      <c r="G10">
        <v>1</v>
      </c>
      <c r="H10" t="s">
        <v>15</v>
      </c>
      <c r="I10" s="11">
        <f t="array" aca="1" ref="I10" ca="1">IF("Open"=Table1[[#This Row],[State]],_xlfn.IFNA(SUM(Events[Value]*(Table1[[#This Row],[Id]]=Events[Project id])*(I$1=Events[Event])),0%), IF("Done"=Table1[[#This Row],[State]], 100%, ""))</f>
        <v>0</v>
      </c>
      <c r="J10" s="11">
        <f t="array" aca="1" ref="J10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>0.5</v>
      </c>
      <c r="K10" s="9">
        <f t="array" aca="1" ref="K10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>-5</v>
      </c>
      <c r="L10" s="4" t="str">
        <f t="array" aca="1" ref="L10" ca="1">IF(TODAY()&lt;Table1[[#This Row],[Start]], "",IF(_xlfn.IFNA(INDEX(Events[Project id], MATCH(1, (Events[Project id]=$A10)*("Cancelled"=Events[Event]),0)),FALSE()),"Cancelled", _xlfn.IFNA(INDEX(Events[Event], MATCH(1, ($A10=Events[Project id])*("Done"=Events[Event]),0)),"Open")))</f>
        <v>Open</v>
      </c>
      <c r="M10" s="7">
        <f ca="1">IFERROR(Table1[Advancement]-Table1[Burn],"")</f>
        <v>-0.5</v>
      </c>
      <c r="N10" s="10">
        <f ca="1">IFERROR(Table1[Review in], "")</f>
        <v>-5</v>
      </c>
      <c r="O10" t="s">
        <v>80</v>
      </c>
    </row>
    <row r="11" spans="1:15" x14ac:dyDescent="0.2">
      <c r="A11">
        <v>10</v>
      </c>
      <c r="B11" t="s">
        <v>44</v>
      </c>
      <c r="C11" t="s">
        <v>62</v>
      </c>
      <c r="E11" s="3">
        <f ca="1">TODAY()-4</f>
        <v>43677</v>
      </c>
      <c r="F11" s="2">
        <f ca="1">TODAY()+9</f>
        <v>43690</v>
      </c>
      <c r="G11">
        <v>1</v>
      </c>
      <c r="H11" t="s">
        <v>15</v>
      </c>
      <c r="I11" s="12">
        <f t="array" aca="1" ref="I11" ca="1">IF("Open"=Table1[[#This Row],[State]],_xlfn.IFNA(SUM(Events[Value]*(Table1[[#This Row],[Id]]=Events[Project id])*(I$1=Events[Event])),0%), IF("Done"=Table1[[#This Row],[State]], 100%, ""))</f>
        <v>0</v>
      </c>
      <c r="J11" s="12">
        <f t="array" aca="1" ref="J11" ca="1">IF("Open"=Table1[[#This Row],[State]],IF(NETWORKDAYS(Table1[[#This Row],[Start]], TODAY())&gt;=0,MIN(100%,IFERROR(NETWORKDAYS(Table1[[#This Row],[Start]],TODAY(),Holidays[Holidays])/NETWORKDAYS(Table1[[#This Row],[Start]],Table1[[#This Row],[Stop]],Holidays[Holidays]),0%)), ""),"")</f>
        <v>0.3</v>
      </c>
      <c r="K11" s="9">
        <f t="array" aca="1" ref="K11" ca="1">IF("Open"=Table1[[#This Row],[State]],IFERROR(NETWORKDAYS(TODAY(),INDEX(Events[Date], MATCH(1,(Table1[[#This Row],[Id]]=Events[Project id])*("Review"=Events[Event]),1))+Table1[[#This Row],[Review every]]*INDIRECT(Table1[[#This Row],[Scale]],TRUE)),NETWORKDAYS(TODAY(), Table1[[#This Row],[Start]])),"")</f>
        <v>5</v>
      </c>
      <c r="L11" s="4" t="str">
        <f t="array" aca="1" ref="L11" ca="1">IF(TODAY()&lt;Table1[[#This Row],[Start]], "",IF(_xlfn.IFNA(INDEX(Events[Project id], MATCH(1, (Events[Project id]=$A11)*("Cancelled"=Events[Event]),0)),FALSE()),"Cancelled", _xlfn.IFNA(INDEX(Events[Event], MATCH(1, ($A11=Events[Project id])*("Done"=Events[Event]),0)),"Open")))</f>
        <v>Open</v>
      </c>
      <c r="M11" s="7">
        <f ca="1">IFERROR(Table1[Advancement]-Table1[Burn],"")</f>
        <v>-0.3</v>
      </c>
      <c r="N11" s="10">
        <f ca="1">IFERROR(Table1[Review in], "")</f>
        <v>5</v>
      </c>
      <c r="O11" t="s">
        <v>77</v>
      </c>
    </row>
    <row r="13" spans="1:15" x14ac:dyDescent="0.2">
      <c r="I13" s="13"/>
      <c r="J13" s="15"/>
      <c r="K13" s="13"/>
      <c r="L13" s="13"/>
    </row>
    <row r="14" spans="1:15" x14ac:dyDescent="0.2">
      <c r="I14" s="14"/>
      <c r="J14" s="13"/>
      <c r="K14" s="13"/>
      <c r="L14" s="13"/>
    </row>
    <row r="15" spans="1:15" x14ac:dyDescent="0.2">
      <c r="I15" s="13"/>
      <c r="J15" s="13"/>
      <c r="K15" s="13"/>
      <c r="L15" s="13"/>
    </row>
    <row r="16" spans="1:15" x14ac:dyDescent="0.2">
      <c r="I16" s="13"/>
      <c r="J16" s="13"/>
      <c r="K16" s="13"/>
      <c r="L16" s="13"/>
    </row>
    <row r="17" spans="9:12" x14ac:dyDescent="0.2">
      <c r="I17" s="13"/>
      <c r="J17" s="13"/>
      <c r="K17" s="13"/>
      <c r="L17" s="13"/>
    </row>
    <row r="18" spans="9:12" x14ac:dyDescent="0.2">
      <c r="I18" s="13"/>
      <c r="J18" s="13"/>
      <c r="K18" s="13"/>
      <c r="L18" s="13"/>
    </row>
    <row r="19" spans="9:12" x14ac:dyDescent="0.2">
      <c r="I19" s="13"/>
      <c r="J19" s="13"/>
      <c r="K19" s="13"/>
      <c r="L19" s="13"/>
    </row>
    <row r="20" spans="9:12" x14ac:dyDescent="0.2">
      <c r="I20" s="13"/>
      <c r="J20" s="13"/>
      <c r="K20" s="13"/>
      <c r="L20" s="13"/>
    </row>
    <row r="21" spans="9:12" x14ac:dyDescent="0.2">
      <c r="I21" s="13"/>
      <c r="J21" s="13"/>
      <c r="K21" s="13"/>
      <c r="L21" s="13"/>
    </row>
    <row r="22" spans="9:12" x14ac:dyDescent="0.2">
      <c r="I22" s="13"/>
      <c r="J22" s="13"/>
      <c r="K22" s="13"/>
      <c r="L22" s="13"/>
    </row>
    <row r="23" spans="9:12" x14ac:dyDescent="0.2">
      <c r="I23" s="14"/>
      <c r="J23" s="13"/>
      <c r="K23" s="13"/>
      <c r="L23" s="13"/>
    </row>
    <row r="24" spans="9:12" x14ac:dyDescent="0.2">
      <c r="I24" s="13"/>
      <c r="J24" s="13"/>
      <c r="K24" s="13"/>
      <c r="L24" s="13"/>
    </row>
    <row r="25" spans="9:12" x14ac:dyDescent="0.2">
      <c r="I25" s="13"/>
      <c r="J25" s="13"/>
      <c r="K25" s="13"/>
      <c r="L25" s="13"/>
    </row>
  </sheetData>
  <phoneticPr fontId="3" type="noConversion"/>
  <conditionalFormatting sqref="M2:M11">
    <cfRule type="iconSet" priority="2">
      <iconSet showValue="0">
        <cfvo type="percent" val="0"/>
        <cfvo type="num" val="0"/>
        <cfvo type="num" val="0" gte="0"/>
      </iconSet>
    </cfRule>
  </conditionalFormatting>
  <conditionalFormatting sqref="N2:N11">
    <cfRule type="iconSet" priority="1">
      <iconSet showValue="0">
        <cfvo type="percent" val="0"/>
        <cfvo type="num" val="0"/>
        <cfvo type="num" val="2" gte="0"/>
      </iconSet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Globals!$B$2:$B$5</xm:f>
          </x14:formula1>
          <xm:sqref>H2:H11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A13" sqref="A13"/>
    </sheetView>
  </sheetViews>
  <sheetFormatPr baseColWidth="10" defaultRowHeight="16" x14ac:dyDescent="0.2"/>
  <cols>
    <col min="1" max="3" width="11.5" customWidth="1"/>
    <col min="6" max="6" width="11.83203125" customWidth="1"/>
  </cols>
  <sheetData>
    <row r="1" spans="1:6" x14ac:dyDescent="0.2">
      <c r="A1" t="s">
        <v>10</v>
      </c>
      <c r="B1" t="s">
        <v>38</v>
      </c>
      <c r="C1" t="s">
        <v>39</v>
      </c>
      <c r="D1" t="s">
        <v>11</v>
      </c>
      <c r="E1" t="s">
        <v>12</v>
      </c>
      <c r="F1" t="s">
        <v>8</v>
      </c>
    </row>
    <row r="2" spans="1:6" x14ac:dyDescent="0.2">
      <c r="A2">
        <v>1</v>
      </c>
      <c r="D2" t="s">
        <v>7</v>
      </c>
      <c r="E2" s="4">
        <v>0.02</v>
      </c>
    </row>
    <row r="3" spans="1:6" x14ac:dyDescent="0.2">
      <c r="A3">
        <v>1</v>
      </c>
      <c r="D3" t="s">
        <v>7</v>
      </c>
      <c r="E3" s="4">
        <v>0.03</v>
      </c>
    </row>
    <row r="4" spans="1:6" x14ac:dyDescent="0.2">
      <c r="A4">
        <v>2</v>
      </c>
      <c r="D4" t="s">
        <v>57</v>
      </c>
      <c r="E4" s="4"/>
    </row>
    <row r="5" spans="1:6" x14ac:dyDescent="0.2">
      <c r="A5">
        <v>3</v>
      </c>
      <c r="D5" t="s">
        <v>58</v>
      </c>
    </row>
    <row r="6" spans="1:6" x14ac:dyDescent="0.2">
      <c r="A6">
        <v>4</v>
      </c>
      <c r="D6" t="s">
        <v>7</v>
      </c>
      <c r="E6" s="4">
        <v>0.6</v>
      </c>
    </row>
    <row r="7" spans="1:6" x14ac:dyDescent="0.2">
      <c r="A7">
        <v>5</v>
      </c>
      <c r="D7" t="s">
        <v>7</v>
      </c>
      <c r="E7" s="4">
        <v>0.5</v>
      </c>
    </row>
    <row r="8" spans="1:6" x14ac:dyDescent="0.2">
      <c r="A8">
        <v>6</v>
      </c>
      <c r="D8" t="s">
        <v>7</v>
      </c>
      <c r="E8" s="4">
        <v>0.4</v>
      </c>
    </row>
    <row r="9" spans="1:6" x14ac:dyDescent="0.2">
      <c r="A9">
        <v>7</v>
      </c>
      <c r="B9" s="2">
        <f ca="1">TODAY()</f>
        <v>43681</v>
      </c>
      <c r="D9" t="s">
        <v>73</v>
      </c>
    </row>
    <row r="10" spans="1:6" x14ac:dyDescent="0.2">
      <c r="A10">
        <v>8</v>
      </c>
      <c r="B10" s="2">
        <f ca="1">TODAY()-5</f>
        <v>43676</v>
      </c>
      <c r="D10" t="s">
        <v>73</v>
      </c>
    </row>
    <row r="11" spans="1:6" x14ac:dyDescent="0.2">
      <c r="A11">
        <v>9</v>
      </c>
      <c r="B11" s="2">
        <f ca="1">TODAY()-14</f>
        <v>43667</v>
      </c>
      <c r="D11" t="s">
        <v>73</v>
      </c>
    </row>
    <row r="12" spans="1:6" x14ac:dyDescent="0.2">
      <c r="A12">
        <v>7</v>
      </c>
      <c r="B12" s="2">
        <v>43681</v>
      </c>
      <c r="D12" t="s">
        <v>73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Globals!$J$2:$J$4</xm:f>
          </x14:formula1>
          <xm:sqref>D2:D12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"/>
  <sheetViews>
    <sheetView workbookViewId="0">
      <selection activeCell="A2" sqref="A2"/>
    </sheetView>
  </sheetViews>
  <sheetFormatPr baseColWidth="10" defaultRowHeight="16" x14ac:dyDescent="0.2"/>
  <cols>
    <col min="10" max="10" width="13.5" customWidth="1"/>
  </cols>
  <sheetData>
    <row r="1" spans="1:10" x14ac:dyDescent="0.2">
      <c r="A1" t="s">
        <v>13</v>
      </c>
      <c r="B1" t="s">
        <v>54</v>
      </c>
      <c r="D1" t="s">
        <v>52</v>
      </c>
      <c r="E1" t="s">
        <v>54</v>
      </c>
      <c r="G1" t="s">
        <v>68</v>
      </c>
      <c r="H1" t="s">
        <v>54</v>
      </c>
      <c r="J1" t="s">
        <v>72</v>
      </c>
    </row>
    <row r="2" spans="1:10" x14ac:dyDescent="0.2">
      <c r="A2">
        <v>1</v>
      </c>
      <c r="B2" t="s">
        <v>14</v>
      </c>
      <c r="D2">
        <v>6</v>
      </c>
      <c r="E2" t="s">
        <v>53</v>
      </c>
      <c r="J2" t="s">
        <v>7</v>
      </c>
    </row>
    <row r="3" spans="1:10" x14ac:dyDescent="0.2">
      <c r="A3">
        <v>7</v>
      </c>
      <c r="B3" t="s">
        <v>15</v>
      </c>
      <c r="D3">
        <v>7</v>
      </c>
      <c r="E3" t="s">
        <v>55</v>
      </c>
      <c r="J3" t="s">
        <v>73</v>
      </c>
    </row>
    <row r="4" spans="1:10" x14ac:dyDescent="0.2">
      <c r="A4">
        <v>30</v>
      </c>
      <c r="B4" t="s">
        <v>16</v>
      </c>
      <c r="J4" t="s">
        <v>74</v>
      </c>
    </row>
    <row r="5" spans="1:10" x14ac:dyDescent="0.2">
      <c r="A5">
        <v>365</v>
      </c>
      <c r="B5" t="s">
        <v>17</v>
      </c>
      <c r="D5" s="2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Explanation</vt:lpstr>
      <vt:lpstr>Projects</vt:lpstr>
      <vt:lpstr>Tests</vt:lpstr>
      <vt:lpstr>Events</vt:lpstr>
      <vt:lpstr>Globals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Teller</dc:creator>
  <cp:keywords/>
  <dc:description/>
  <cp:lastModifiedBy>Martin Teller</cp:lastModifiedBy>
  <dcterms:created xsi:type="dcterms:W3CDTF">2019-08-01T06:55:50Z</dcterms:created>
  <dcterms:modified xsi:type="dcterms:W3CDTF">2019-08-03T22:18:05Z</dcterms:modified>
  <cp:category/>
</cp:coreProperties>
</file>